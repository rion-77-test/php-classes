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-2\Desktop\31-03-2026, 1296129\"/>
    </mc:Choice>
  </mc:AlternateContent>
  <xr:revisionPtr revIDLastSave="0" documentId="13_ncr:1_{1E40D537-1ACD-4B9A-BE68-7224EF2640C9}" xr6:coauthVersionLast="47" xr6:coauthVersionMax="47" xr10:uidLastSave="{00000000-0000-0000-0000-000000000000}"/>
  <bookViews>
    <workbookView xWindow="-120" yWindow="-120" windowWidth="29040" windowHeight="15720" activeTab="1" xr2:uid="{8F8BDD65-47E4-4082-8BB9-CA056E5ED23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5" l="1"/>
  <c r="D7" i="5"/>
  <c r="D6" i="5"/>
  <c r="D5" i="5"/>
  <c r="D4" i="5"/>
  <c r="D3" i="5"/>
  <c r="D2" i="5"/>
  <c r="D7" i="4"/>
  <c r="E7" i="4" s="1"/>
  <c r="F7" i="4" s="1"/>
  <c r="D6" i="4"/>
  <c r="E6" i="4" s="1"/>
  <c r="F6" i="4" s="1"/>
  <c r="E5" i="4"/>
  <c r="F5" i="4" s="1"/>
  <c r="D5" i="4"/>
  <c r="D4" i="4"/>
  <c r="E4" i="4" s="1"/>
  <c r="F4" i="4" s="1"/>
  <c r="D3" i="4"/>
  <c r="E3" i="4" s="1"/>
  <c r="F3" i="4" s="1"/>
  <c r="D2" i="4"/>
  <c r="E2" i="4" s="1"/>
  <c r="F2" i="4" s="1"/>
  <c r="E2" i="3"/>
  <c r="G2" i="3" s="1"/>
  <c r="F2" i="3"/>
  <c r="E3" i="3"/>
  <c r="F3" i="3"/>
  <c r="G3" i="3"/>
  <c r="E4" i="3"/>
  <c r="F4" i="3"/>
  <c r="G4" i="3"/>
  <c r="E5" i="3"/>
  <c r="F5" i="3"/>
  <c r="G5" i="3"/>
  <c r="E2" i="2"/>
  <c r="F2" i="2"/>
  <c r="G2" i="2"/>
  <c r="H2" i="2"/>
  <c r="E3" i="2"/>
  <c r="F3" i="2"/>
  <c r="G3" i="2"/>
  <c r="H3" i="2"/>
  <c r="E4" i="2"/>
  <c r="F4" i="2"/>
  <c r="G4" i="2"/>
  <c r="H4" i="2"/>
  <c r="E5" i="2"/>
  <c r="F5" i="2"/>
  <c r="G5" i="2"/>
  <c r="H5" i="2"/>
  <c r="G9" i="1"/>
  <c r="F22" i="1"/>
  <c r="G6" i="1" s="1"/>
  <c r="G8" i="1"/>
  <c r="G2" i="1"/>
  <c r="I2" i="1" s="1"/>
  <c r="G5" i="1"/>
  <c r="I5" i="1" s="1"/>
  <c r="G11" i="1"/>
  <c r="I11" i="1" s="1"/>
  <c r="Q6" i="1"/>
  <c r="Q4" i="1"/>
  <c r="P3" i="1" a="1"/>
  <c r="P3" i="1" s="1"/>
  <c r="J2" i="1"/>
  <c r="N2" i="1" s="1"/>
  <c r="L2" i="1"/>
  <c r="M2" i="1"/>
  <c r="M3" i="1"/>
  <c r="R2" i="1" a="1"/>
  <c r="R2" i="1" s="1"/>
  <c r="S2" i="1"/>
  <c r="N21" i="1"/>
  <c r="N20" i="1"/>
  <c r="N19" i="1"/>
  <c r="N25" i="1"/>
  <c r="N26" i="1"/>
  <c r="N23" i="1"/>
  <c r="F20" i="1"/>
  <c r="N24" i="1"/>
  <c r="N22" i="1"/>
  <c r="Q3" i="1"/>
  <c r="Q5" i="1"/>
  <c r="Q7" i="1"/>
  <c r="Q8" i="1"/>
  <c r="Q9" i="1"/>
  <c r="Q10" i="1"/>
  <c r="Q11" i="1"/>
  <c r="Q12" i="1"/>
  <c r="Q13" i="1"/>
  <c r="Q14" i="1"/>
  <c r="Q15" i="1"/>
  <c r="Q16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R3" i="1"/>
  <c r="R5" i="1"/>
  <c r="R6" i="1"/>
  <c r="R7" i="1"/>
  <c r="R8" i="1"/>
  <c r="R9" i="1"/>
  <c r="R10" i="1"/>
  <c r="R11" i="1"/>
  <c r="R12" i="1"/>
  <c r="R13" i="1"/>
  <c r="R14" i="1"/>
  <c r="R15" i="1"/>
  <c r="R1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F21" i="1"/>
  <c r="F23" i="1"/>
  <c r="F24" i="1"/>
  <c r="F25" i="1"/>
  <c r="F26" i="1"/>
  <c r="F27" i="1"/>
  <c r="G31" i="1"/>
  <c r="J19" i="1"/>
  <c r="K19" i="1"/>
  <c r="J20" i="1"/>
  <c r="C21" i="1"/>
  <c r="B24" i="1"/>
  <c r="D13" i="4" l="1"/>
  <c r="G13" i="1"/>
  <c r="G12" i="1"/>
  <c r="G10" i="1"/>
  <c r="I10" i="1" s="1"/>
  <c r="G4" i="1"/>
  <c r="I4" i="1" s="1"/>
  <c r="G16" i="1"/>
  <c r="G3" i="1"/>
  <c r="G15" i="1"/>
  <c r="I15" i="1" s="1"/>
  <c r="G7" i="1"/>
  <c r="G14" i="1"/>
  <c r="H18" i="1"/>
  <c r="Q2" i="1"/>
  <c r="I3" i="1"/>
  <c r="I14" i="1" l="1"/>
  <c r="I8" i="1"/>
  <c r="I7" i="1"/>
  <c r="O7" i="1" s="1"/>
  <c r="I9" i="1"/>
  <c r="I12" i="1"/>
  <c r="I13" i="1"/>
  <c r="I6" i="1"/>
  <c r="I16" i="1"/>
  <c r="G32" i="1"/>
  <c r="O12" i="1" l="1"/>
  <c r="O14" i="1"/>
  <c r="O5" i="1"/>
  <c r="O13" i="1"/>
  <c r="O2" i="1"/>
  <c r="O11" i="1"/>
  <c r="O10" i="1"/>
  <c r="O9" i="1"/>
  <c r="O16" i="1"/>
  <c r="O3" i="1"/>
  <c r="O15" i="1"/>
  <c r="O6" i="1"/>
  <c r="O4" i="1"/>
  <c r="O8" i="1"/>
  <c r="B25" i="1"/>
  <c r="C20" i="1"/>
  <c r="C22" i="1"/>
  <c r="C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<sst xmlns="http://schemas.openxmlformats.org/spreadsheetml/2006/main" count="77" uniqueCount="75">
  <si>
    <t xml:space="preserve"> </t>
  </si>
  <si>
    <t>Roll</t>
  </si>
  <si>
    <t>Name</t>
  </si>
  <si>
    <t>Bangala</t>
  </si>
  <si>
    <t>English</t>
  </si>
  <si>
    <t xml:space="preserve">Math </t>
  </si>
  <si>
    <t>Physics</t>
  </si>
  <si>
    <t>Chemistry</t>
  </si>
  <si>
    <t>Total</t>
  </si>
  <si>
    <t>Average</t>
  </si>
  <si>
    <t>Grade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</si>
  <si>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</si>
  <si>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</si>
  <si>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</si>
  <si>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</si>
  <si>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</si>
  <si>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</si>
  <si>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</si>
  <si>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</si>
  <si>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</si>
  <si>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</si>
  <si>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</si>
  <si>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</si>
  <si>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</si>
  <si>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</si>
  <si>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</si>
  <si>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d</t>
  </si>
  <si>
    <t>result</t>
  </si>
  <si>
    <t>Letter Grade</t>
  </si>
  <si>
    <t>4.5 532</t>
  </si>
  <si>
    <t>POWER=</t>
  </si>
  <si>
    <t>COUNTIF</t>
  </si>
  <si>
    <t>CEILING/</t>
  </si>
  <si>
    <t>FLOOR</t>
  </si>
  <si>
    <t>CONCAT</t>
  </si>
  <si>
    <t>CONCATENATE</t>
  </si>
  <si>
    <t>Trim</t>
  </si>
  <si>
    <t>Rank</t>
  </si>
  <si>
    <t>asd</t>
  </si>
  <si>
    <t>qwe</t>
  </si>
  <si>
    <t>wrt</t>
  </si>
  <si>
    <t>wer</t>
  </si>
  <si>
    <t>status</t>
  </si>
  <si>
    <t>total score</t>
  </si>
  <si>
    <t>davis</t>
  </si>
  <si>
    <t>braille</t>
  </si>
  <si>
    <t>luis</t>
  </si>
  <si>
    <t>ford</t>
  </si>
  <si>
    <t>total salary</t>
  </si>
  <si>
    <t>bonos</t>
  </si>
  <si>
    <t>gross salary</t>
  </si>
  <si>
    <t>hours worked</t>
  </si>
  <si>
    <t>hourly rate(tk/hour)</t>
  </si>
  <si>
    <t>employee name</t>
  </si>
  <si>
    <t>sl</t>
  </si>
  <si>
    <t>student</t>
  </si>
  <si>
    <t>GPA</t>
  </si>
  <si>
    <t>Tuition Fee</t>
  </si>
  <si>
    <t>Percentage</t>
  </si>
  <si>
    <t>Scholarship Amount(Tution fee x percentage</t>
  </si>
  <si>
    <t>Net payment (tution fee-scholarshop amount</t>
  </si>
  <si>
    <t>steve</t>
  </si>
  <si>
    <t xml:space="preserve">willam </t>
  </si>
  <si>
    <t>mark</t>
  </si>
  <si>
    <t>kalles</t>
  </si>
  <si>
    <t>jack</t>
  </si>
  <si>
    <t>james</t>
  </si>
  <si>
    <t>Student Name</t>
  </si>
  <si>
    <t>ST_ID</t>
  </si>
  <si>
    <t>Marks</t>
  </si>
  <si>
    <t>Result</t>
  </si>
  <si>
    <t>joe</t>
  </si>
  <si>
    <t>smith</t>
  </si>
  <si>
    <t>ron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</si>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</sst>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\,##\,##0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right"/>
    </xf>
    <xf numFmtId="22" fontId="0" fillId="0" borderId="0" xfId="0" applyNumberFormat="1"/>
    <xf numFmtId="14" fontId="0" fillId="0" borderId="0" xfId="0" applyNumberFormat="1"/>
    <xf numFmtId="164" fontId="0" fillId="0" borderId="0" xfId="1" applyNumberFormat="1" applyFont="1" applyAlignment="1">
      <alignment horizont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1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2">
    <dxf>
      <font>
        <color rgb="FFC00000"/>
      </font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79F1-8F26-4EB0-9CD6-C1A45E655439}">
  <dimension ref="A1:V32"/>
  <sheetViews>
    <sheetView topLeftCell="A25" zoomScaleNormal="100" workbookViewId="0">
      <selection activeCell="G4" sqref="G4"/>
    </sheetView>
  </sheetViews>
  <sheetFormatPr defaultRowHeight="15" x14ac:dyDescent="0.25"/>
  <cols>
    <col min="2" max="2" width="10.7109375" bestFit="1" customWidth="1"/>
    <col min="7" max="8" width="10" bestFit="1" customWidth="1"/>
    <col min="13" max="13" width="14.7109375" bestFit="1" customWidth="1"/>
    <col min="14" max="14" width="16.42578125" bestFit="1" customWidth="1"/>
  </cols>
  <sheetData>
    <row r="1" spans="1:22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/>
      <c r="H1" s="3" t="s">
        <v>7</v>
      </c>
      <c r="I1" s="3" t="s">
        <v>8</v>
      </c>
      <c r="J1" s="3" t="s">
        <v>9</v>
      </c>
      <c r="K1" s="3" t="s">
        <v>10</v>
      </c>
      <c r="L1" s="3" t="s">
        <v>27</v>
      </c>
      <c r="N1" s="6" t="s">
        <v>28</v>
      </c>
      <c r="O1" s="6" t="s">
        <v>37</v>
      </c>
      <c r="Q1" t="s">
        <v>31</v>
      </c>
    </row>
    <row r="2" spans="1:22" x14ac:dyDescent="0.25">
      <c r="A2" s="2">
        <v>1</v>
      </c>
      <c r="B2" s="2" t="s">
        <v>11</v>
      </c>
      <c r="C2" s="2">
        <v>13</v>
      </c>
      <c r="D2" s="2">
        <v>36</v>
      </c>
      <c r="E2" s="2">
        <v>65</v>
      </c>
      <c r="F2" s="2">
        <v>13</v>
      </c>
      <c r="G2" s="2">
        <f>(D2/100*$F$22)+D2</f>
        <v>44.445599999999999</v>
      </c>
      <c r="H2" s="2">
        <v>35</v>
      </c>
      <c r="I2" s="1">
        <f>SUM(C2:H2)</f>
        <v>206.44560000000001</v>
      </c>
      <c r="J2" s="4">
        <f>ROUND(AVERAGE(C2:F2),0)</f>
        <v>32</v>
      </c>
      <c r="K2" s="7" t="s">
        <v>29</v>
      </c>
      <c r="L2" t="str">
        <f>IF(H2&lt;50,"fail","pass")</f>
        <v>fail</v>
      </c>
      <c r="M2" t="str">
        <f>IF(AND(D2&gt;50,E2&gt;50),"Pass","Fail")</f>
        <v>Fail</v>
      </c>
      <c r="N2" t="str">
        <f>IF(J2&gt;=90,"S",IF(J2&gt;=80,"A+",IF(J2&gt;=70,"A",IF(J2&gt;=60,"B+",IF(J2&gt;=35,"B","F")))))</f>
        <v>F</v>
      </c>
      <c r="O2">
        <f>_xlfn.RANK.EQ(I2,$I$2:$I$16,0)</f>
        <v>15</v>
      </c>
      <c r="P2" t="str">
        <f>IF(OR(C2&lt;51,D2&lt;51,E2&lt;51,F2&lt;51),"fail","pass")</f>
        <v>fail</v>
      </c>
      <c r="Q2" t="b">
        <f>Sheet5!$D$2=Sheet5!$D$2=IF(COUNTIF(C2:F2,"&gt;=51")&gt;=4,"pass","fail")</f>
        <v>0</v>
      </c>
      <c r="R2" t="e" cm="1">
        <f t="array" aca="1" ref="R2" ca="1">IF(O2MIN(C2:F2)&lt;51,"fail","pass")</f>
        <v>#NAME?</v>
      </c>
      <c r="S2" t="str">
        <f>IF(OR(C2&gt;50,D2&gt;50,E2&gt;50,F2&gt;50),"PASS","FAIL")</f>
        <v>PASS</v>
      </c>
    </row>
    <row r="3" spans="1:22" x14ac:dyDescent="0.25">
      <c r="A3" s="2">
        <v>2</v>
      </c>
      <c r="B3" s="2" t="s">
        <v>12</v>
      </c>
      <c r="C3" s="2">
        <v>51</v>
      </c>
      <c r="D3" s="2">
        <v>85</v>
      </c>
      <c r="E3" s="2">
        <v>86</v>
      </c>
      <c r="F3" s="2">
        <v>51</v>
      </c>
      <c r="G3" s="2">
        <f>(D3/100*$F$22)+D3</f>
        <v>104.941</v>
      </c>
      <c r="H3" s="2">
        <v>53</v>
      </c>
      <c r="I3" s="1">
        <f>SUM(C3:H3)</f>
        <v>430.94100000000003</v>
      </c>
      <c r="J3" s="4">
        <f t="shared" ref="J3:J16" si="0">ROUND(AVERAGE(C3:F3),0)</f>
        <v>68</v>
      </c>
      <c r="K3" s="1">
        <v>6.4539999999999997</v>
      </c>
      <c r="L3" t="str">
        <f t="shared" ref="L3:L16" si="1">IF(H3&lt;50,"fail","pass")</f>
        <v>pass</v>
      </c>
      <c r="M3" t="str">
        <f>IF(AND(D3&gt;50,E3&gt;50),"Pass","Fail")</f>
        <v>Pass</v>
      </c>
      <c r="N3" t="str">
        <f t="shared" ref="N3:N16" si="2">IF(J3&gt;=90,"S",IF(J3&gt;=80,"A+",IF(J3&gt;=70,"A",IF(J3&gt;=60,"B+",IF(J3&gt;=35,"B","F")))))</f>
        <v>B+</v>
      </c>
      <c r="O3">
        <f t="shared" ref="O3:O16" si="3">_xlfn.RANK.EQ(I3,$I$2:$I$16,0)</f>
        <v>1</v>
      </c>
      <c r="P3" t="e" cm="1">
        <f t="array" aca="1" ref="P3" ca="1">IF(Q6OR(C3&lt;51,D3&lt;51,E3&lt;51,F3&lt;51),"fail","pass")</f>
        <v>#NAME?</v>
      </c>
      <c r="Q3" t="str">
        <f t="shared" ref="Q3:Q16" si="4">IF(COUNTIF(C3:F3,"&gt;=51")&gt;=4,"pass","fail")</f>
        <v>pass</v>
      </c>
      <c r="R3" t="str">
        <f t="shared" ref="R3:R16" si="5">IF(MIN(C3:F3)&lt;51,"fail","pass")</f>
        <v>pass</v>
      </c>
    </row>
    <row r="4" spans="1:22" x14ac:dyDescent="0.25">
      <c r="A4" s="2">
        <v>3</v>
      </c>
      <c r="B4" s="2" t="s">
        <v>13</v>
      </c>
      <c r="C4" s="2">
        <v>53</v>
      </c>
      <c r="D4" s="2">
        <v>72</v>
      </c>
      <c r="E4" s="2">
        <v>41</v>
      </c>
      <c r="F4" s="2">
        <v>53</v>
      </c>
      <c r="G4" s="2">
        <f t="shared" ref="G4:G16" si="6">(D4*$F$22%)+D4</f>
        <v>88.891199999999998</v>
      </c>
      <c r="H4" s="2">
        <v>40</v>
      </c>
      <c r="I4" s="1">
        <f t="shared" ref="I4:I16" si="7">SUM(C4:H4)</f>
        <v>347.89120000000003</v>
      </c>
      <c r="J4" s="4">
        <f t="shared" si="0"/>
        <v>55</v>
      </c>
      <c r="K4" s="1">
        <v>23.456</v>
      </c>
      <c r="L4" t="str">
        <f t="shared" si="1"/>
        <v>fail</v>
      </c>
      <c r="M4" t="str">
        <f t="shared" ref="M3:M16" si="8">IF(AND(D4&gt;50,E4&gt;50),"Pass","Fail")</f>
        <v>Fail</v>
      </c>
      <c r="N4" t="str">
        <f t="shared" si="2"/>
        <v>B</v>
      </c>
      <c r="O4">
        <f t="shared" si="3"/>
        <v>8</v>
      </c>
      <c r="P4" t="str">
        <f t="shared" ref="P3:P16" si="9">IF(OR(C4&lt;51,D4&lt;51,E4&lt;51,F4&lt;51),"fail","pass")</f>
        <v>fail</v>
      </c>
      <c r="Q4" t="str">
        <f>IF(COUNTIF(C4:F4,"&gt;=51")&gt;=4,"pass","fail")</f>
        <v>fail</v>
      </c>
      <c r="V4" t="s">
        <v>0</v>
      </c>
    </row>
    <row r="5" spans="1:22" x14ac:dyDescent="0.25">
      <c r="A5" s="2">
        <v>4</v>
      </c>
      <c r="B5" s="2" t="s">
        <v>14</v>
      </c>
      <c r="C5" s="2">
        <v>11</v>
      </c>
      <c r="D5" s="2">
        <v>45</v>
      </c>
      <c r="E5" s="2">
        <v>98</v>
      </c>
      <c r="F5" s="2">
        <v>98</v>
      </c>
      <c r="G5" s="2">
        <f t="shared" si="6"/>
        <v>55.557000000000002</v>
      </c>
      <c r="H5" s="2">
        <v>88</v>
      </c>
      <c r="I5" s="1">
        <f t="shared" si="7"/>
        <v>395.55700000000002</v>
      </c>
      <c r="J5" s="4">
        <f t="shared" si="0"/>
        <v>63</v>
      </c>
      <c r="K5" s="1">
        <v>25.1234</v>
      </c>
      <c r="L5" t="str">
        <f t="shared" si="1"/>
        <v>pass</v>
      </c>
      <c r="M5" t="str">
        <f t="shared" si="8"/>
        <v>Fail</v>
      </c>
      <c r="N5" t="str">
        <f t="shared" si="2"/>
        <v>B+</v>
      </c>
      <c r="O5">
        <f>_xlfn.RANK.EQ(I5,$I$2:$I$16,0)</f>
        <v>3</v>
      </c>
      <c r="P5" t="str">
        <f t="shared" si="9"/>
        <v>fail</v>
      </c>
      <c r="Q5" t="str">
        <f t="shared" si="4"/>
        <v>fail</v>
      </c>
      <c r="R5" t="str">
        <f t="shared" si="5"/>
        <v>fail</v>
      </c>
    </row>
    <row r="6" spans="1:22" x14ac:dyDescent="0.25">
      <c r="A6" s="2">
        <v>5</v>
      </c>
      <c r="B6" s="2" t="s">
        <v>15</v>
      </c>
      <c r="C6" s="2">
        <v>99</v>
      </c>
      <c r="D6" s="2">
        <v>24</v>
      </c>
      <c r="E6" s="2">
        <v>67</v>
      </c>
      <c r="F6" s="2">
        <v>35</v>
      </c>
      <c r="G6" s="2">
        <f t="shared" si="6"/>
        <v>29.630400000000002</v>
      </c>
      <c r="H6" s="2">
        <v>90</v>
      </c>
      <c r="I6" s="1">
        <f t="shared" si="7"/>
        <v>344.63040000000001</v>
      </c>
      <c r="J6" s="4">
        <f t="shared" si="0"/>
        <v>56</v>
      </c>
      <c r="K6" s="1"/>
      <c r="L6" t="str">
        <f t="shared" si="1"/>
        <v>pass</v>
      </c>
      <c r="M6" t="str">
        <f t="shared" si="8"/>
        <v>Fail</v>
      </c>
      <c r="N6" t="str">
        <f t="shared" si="2"/>
        <v>B</v>
      </c>
      <c r="O6">
        <f t="shared" si="3"/>
        <v>9</v>
      </c>
      <c r="P6" t="str">
        <f t="shared" si="9"/>
        <v>fail</v>
      </c>
      <c r="Q6" t="str">
        <f>IF(COUNTIF(C6:F6,"&gt;=51")&gt;=4,"pass","fail")</f>
        <v>fail</v>
      </c>
      <c r="R6" t="str">
        <f t="shared" si="5"/>
        <v>fail</v>
      </c>
    </row>
    <row r="7" spans="1:22" x14ac:dyDescent="0.25">
      <c r="A7" s="2">
        <v>6</v>
      </c>
      <c r="B7" s="2" t="s">
        <v>16</v>
      </c>
      <c r="C7" s="2">
        <v>30</v>
      </c>
      <c r="D7" s="2">
        <v>76</v>
      </c>
      <c r="E7" s="2">
        <v>89</v>
      </c>
      <c r="F7" s="2">
        <v>23</v>
      </c>
      <c r="G7" s="2">
        <f>(D7*$F$22%)+D7</f>
        <v>93.829599999999999</v>
      </c>
      <c r="H7" s="2">
        <v>95</v>
      </c>
      <c r="I7" s="1">
        <f t="shared" si="7"/>
        <v>406.82960000000003</v>
      </c>
      <c r="J7" s="4">
        <f t="shared" si="0"/>
        <v>55</v>
      </c>
      <c r="K7" s="1"/>
      <c r="L7" t="str">
        <f t="shared" si="1"/>
        <v>pass</v>
      </c>
      <c r="M7" t="str">
        <f t="shared" si="8"/>
        <v>Pass</v>
      </c>
      <c r="N7" t="str">
        <f t="shared" si="2"/>
        <v>B</v>
      </c>
      <c r="O7">
        <f>_xlfn.RANK.EQ(I7,$I$2:$I$16,0)</f>
        <v>2</v>
      </c>
      <c r="P7" t="str">
        <f t="shared" si="9"/>
        <v>fail</v>
      </c>
      <c r="Q7" t="str">
        <f t="shared" si="4"/>
        <v>fail</v>
      </c>
      <c r="R7" t="str">
        <f t="shared" si="5"/>
        <v>fail</v>
      </c>
    </row>
    <row r="8" spans="1:22" x14ac:dyDescent="0.25">
      <c r="A8" s="2">
        <v>7</v>
      </c>
      <c r="B8" s="2" t="s">
        <v>17</v>
      </c>
      <c r="C8" s="2">
        <v>45</v>
      </c>
      <c r="D8" s="2">
        <v>54</v>
      </c>
      <c r="E8" s="2">
        <v>98</v>
      </c>
      <c r="F8" s="2">
        <v>23</v>
      </c>
      <c r="G8" s="2">
        <f>(D8*$F$22%)+D8</f>
        <v>66.668400000000005</v>
      </c>
      <c r="H8" s="2">
        <v>31</v>
      </c>
      <c r="I8" s="1">
        <f t="shared" si="7"/>
        <v>317.66840000000002</v>
      </c>
      <c r="J8" s="4">
        <f t="shared" si="0"/>
        <v>55</v>
      </c>
      <c r="K8" s="1"/>
      <c r="L8" t="str">
        <f t="shared" si="1"/>
        <v>fail</v>
      </c>
      <c r="M8" t="str">
        <f t="shared" si="8"/>
        <v>Pass</v>
      </c>
      <c r="N8" t="str">
        <f t="shared" si="2"/>
        <v>B</v>
      </c>
      <c r="O8">
        <f t="shared" si="3"/>
        <v>14</v>
      </c>
      <c r="P8" t="str">
        <f t="shared" si="9"/>
        <v>fail</v>
      </c>
      <c r="Q8" t="str">
        <f t="shared" si="4"/>
        <v>fail</v>
      </c>
      <c r="R8" t="str">
        <f t="shared" si="5"/>
        <v>fail</v>
      </c>
    </row>
    <row r="9" spans="1:22" x14ac:dyDescent="0.25">
      <c r="A9" s="2">
        <v>8</v>
      </c>
      <c r="B9" s="2" t="s">
        <v>18</v>
      </c>
      <c r="C9" s="2">
        <v>54</v>
      </c>
      <c r="D9" s="2">
        <v>62</v>
      </c>
      <c r="E9" s="2">
        <v>64</v>
      </c>
      <c r="F9" s="2">
        <v>74</v>
      </c>
      <c r="G9" s="2">
        <f>(D9*$F$22%)+D9</f>
        <v>76.545199999999994</v>
      </c>
      <c r="H9" s="2">
        <v>43</v>
      </c>
      <c r="I9" s="1">
        <f t="shared" si="7"/>
        <v>373.54520000000002</v>
      </c>
      <c r="J9" s="4">
        <f t="shared" si="0"/>
        <v>64</v>
      </c>
      <c r="K9" s="1"/>
      <c r="L9" t="str">
        <f t="shared" si="1"/>
        <v>fail</v>
      </c>
      <c r="M9" t="str">
        <f t="shared" si="8"/>
        <v>Pass</v>
      </c>
      <c r="N9" t="str">
        <f t="shared" si="2"/>
        <v>B+</v>
      </c>
      <c r="O9">
        <f t="shared" si="3"/>
        <v>4</v>
      </c>
      <c r="P9" t="str">
        <f t="shared" si="9"/>
        <v>pass</v>
      </c>
      <c r="Q9" t="str">
        <f t="shared" si="4"/>
        <v>pass</v>
      </c>
      <c r="R9" t="str">
        <f t="shared" si="5"/>
        <v>pass</v>
      </c>
    </row>
    <row r="10" spans="1:22" x14ac:dyDescent="0.25">
      <c r="A10" s="2">
        <v>9</v>
      </c>
      <c r="B10" s="2" t="s">
        <v>19</v>
      </c>
      <c r="C10" s="2">
        <v>56</v>
      </c>
      <c r="D10" s="2">
        <v>77</v>
      </c>
      <c r="E10" s="2">
        <v>34</v>
      </c>
      <c r="F10" s="2">
        <v>66</v>
      </c>
      <c r="G10" s="2">
        <f t="shared" si="6"/>
        <v>95.0642</v>
      </c>
      <c r="H10" s="2">
        <v>32</v>
      </c>
      <c r="I10" s="1">
        <f t="shared" si="7"/>
        <v>360.06420000000003</v>
      </c>
      <c r="J10" s="4">
        <f t="shared" si="0"/>
        <v>58</v>
      </c>
      <c r="K10" s="1"/>
      <c r="L10" t="str">
        <f t="shared" si="1"/>
        <v>fail</v>
      </c>
      <c r="M10" t="str">
        <f t="shared" si="8"/>
        <v>Fail</v>
      </c>
      <c r="N10" t="str">
        <f t="shared" si="2"/>
        <v>B</v>
      </c>
      <c r="O10">
        <f t="shared" si="3"/>
        <v>6</v>
      </c>
      <c r="P10" t="str">
        <f t="shared" si="9"/>
        <v>fail</v>
      </c>
      <c r="Q10" t="str">
        <f t="shared" si="4"/>
        <v>fail</v>
      </c>
      <c r="R10" t="str">
        <f t="shared" si="5"/>
        <v>fail</v>
      </c>
    </row>
    <row r="11" spans="1:22" x14ac:dyDescent="0.25">
      <c r="A11" s="2">
        <v>10</v>
      </c>
      <c r="B11" s="2" t="s">
        <v>20</v>
      </c>
      <c r="C11" s="2">
        <v>23</v>
      </c>
      <c r="D11" s="2">
        <v>54</v>
      </c>
      <c r="E11" s="2">
        <v>76</v>
      </c>
      <c r="F11" s="2">
        <v>34</v>
      </c>
      <c r="G11" s="2">
        <f t="shared" si="6"/>
        <v>66.668400000000005</v>
      </c>
      <c r="H11" s="2">
        <v>87</v>
      </c>
      <c r="I11" s="1">
        <f t="shared" si="7"/>
        <v>340.66840000000002</v>
      </c>
      <c r="J11" s="4">
        <f t="shared" si="0"/>
        <v>47</v>
      </c>
      <c r="K11" s="1"/>
      <c r="L11" t="str">
        <f t="shared" si="1"/>
        <v>pass</v>
      </c>
      <c r="M11" t="str">
        <f t="shared" si="8"/>
        <v>Pass</v>
      </c>
      <c r="N11" t="str">
        <f t="shared" si="2"/>
        <v>B</v>
      </c>
      <c r="O11">
        <f t="shared" si="3"/>
        <v>10</v>
      </c>
      <c r="P11" t="str">
        <f t="shared" si="9"/>
        <v>fail</v>
      </c>
      <c r="Q11" t="str">
        <f t="shared" si="4"/>
        <v>fail</v>
      </c>
      <c r="R11" t="str">
        <f t="shared" si="5"/>
        <v>fail</v>
      </c>
    </row>
    <row r="12" spans="1:22" x14ac:dyDescent="0.25">
      <c r="A12" s="2">
        <v>11</v>
      </c>
      <c r="B12" s="2" t="s">
        <v>21</v>
      </c>
      <c r="C12" s="2">
        <v>45</v>
      </c>
      <c r="D12" s="2">
        <v>45</v>
      </c>
      <c r="E12" s="2">
        <v>56</v>
      </c>
      <c r="F12" s="2">
        <v>56</v>
      </c>
      <c r="G12" s="2">
        <f t="shared" si="6"/>
        <v>55.557000000000002</v>
      </c>
      <c r="H12" s="2">
        <v>76</v>
      </c>
      <c r="I12" s="1">
        <f t="shared" si="7"/>
        <v>333.55700000000002</v>
      </c>
      <c r="J12" s="4">
        <f t="shared" si="0"/>
        <v>51</v>
      </c>
      <c r="K12" s="1"/>
      <c r="L12" t="str">
        <f t="shared" si="1"/>
        <v>pass</v>
      </c>
      <c r="M12" t="str">
        <f t="shared" si="8"/>
        <v>Fail</v>
      </c>
      <c r="N12" t="str">
        <f t="shared" si="2"/>
        <v>B</v>
      </c>
      <c r="O12">
        <f t="shared" si="3"/>
        <v>12</v>
      </c>
      <c r="P12" t="str">
        <f t="shared" si="9"/>
        <v>fail</v>
      </c>
      <c r="Q12" t="str">
        <f t="shared" si="4"/>
        <v>fail</v>
      </c>
      <c r="R12" t="str">
        <f t="shared" si="5"/>
        <v>fail</v>
      </c>
    </row>
    <row r="13" spans="1:22" x14ac:dyDescent="0.25">
      <c r="A13" s="2">
        <v>12</v>
      </c>
      <c r="B13" s="2" t="s">
        <v>22</v>
      </c>
      <c r="C13" s="2">
        <v>34</v>
      </c>
      <c r="D13" s="2">
        <v>45</v>
      </c>
      <c r="E13" s="2">
        <v>64</v>
      </c>
      <c r="F13" s="2">
        <v>67</v>
      </c>
      <c r="G13" s="2">
        <f t="shared" si="6"/>
        <v>55.557000000000002</v>
      </c>
      <c r="H13" s="2">
        <v>71</v>
      </c>
      <c r="I13" s="1">
        <f t="shared" si="7"/>
        <v>336.55700000000002</v>
      </c>
      <c r="J13" s="4">
        <f t="shared" si="0"/>
        <v>53</v>
      </c>
      <c r="K13" s="1"/>
      <c r="L13" t="str">
        <f t="shared" si="1"/>
        <v>pass</v>
      </c>
      <c r="M13" t="str">
        <f t="shared" si="8"/>
        <v>Fail</v>
      </c>
      <c r="N13" t="str">
        <f t="shared" si="2"/>
        <v>B</v>
      </c>
      <c r="O13">
        <f t="shared" si="3"/>
        <v>11</v>
      </c>
      <c r="P13" t="str">
        <f t="shared" si="9"/>
        <v>fail</v>
      </c>
      <c r="Q13" t="str">
        <f t="shared" si="4"/>
        <v>fail</v>
      </c>
      <c r="R13" t="str">
        <f t="shared" si="5"/>
        <v>fail</v>
      </c>
    </row>
    <row r="14" spans="1:22" x14ac:dyDescent="0.25">
      <c r="A14" s="2">
        <v>13</v>
      </c>
      <c r="B14" s="2" t="s">
        <v>23</v>
      </c>
      <c r="C14" s="2">
        <v>56</v>
      </c>
      <c r="D14" s="2">
        <v>77</v>
      </c>
      <c r="E14" s="2">
        <v>65</v>
      </c>
      <c r="F14" s="2">
        <v>34</v>
      </c>
      <c r="G14" s="2">
        <f t="shared" si="6"/>
        <v>95.0642</v>
      </c>
      <c r="H14" s="2">
        <v>23</v>
      </c>
      <c r="I14" s="1">
        <f t="shared" si="7"/>
        <v>350.06420000000003</v>
      </c>
      <c r="J14" s="4">
        <f t="shared" si="0"/>
        <v>58</v>
      </c>
      <c r="K14" s="1"/>
      <c r="L14" t="str">
        <f t="shared" si="1"/>
        <v>fail</v>
      </c>
      <c r="M14" t="str">
        <f t="shared" si="8"/>
        <v>Pass</v>
      </c>
      <c r="N14" t="str">
        <f t="shared" si="2"/>
        <v>B</v>
      </c>
      <c r="O14">
        <f t="shared" si="3"/>
        <v>7</v>
      </c>
      <c r="P14" t="str">
        <f t="shared" si="9"/>
        <v>fail</v>
      </c>
      <c r="Q14" t="str">
        <f t="shared" si="4"/>
        <v>fail</v>
      </c>
      <c r="R14" t="str">
        <f t="shared" si="5"/>
        <v>fail</v>
      </c>
    </row>
    <row r="15" spans="1:22" x14ac:dyDescent="0.25">
      <c r="A15" s="2">
        <v>14</v>
      </c>
      <c r="B15" s="2" t="s">
        <v>24</v>
      </c>
      <c r="C15" s="2">
        <v>45</v>
      </c>
      <c r="D15" s="2">
        <v>45</v>
      </c>
      <c r="E15" s="2">
        <v>41</v>
      </c>
      <c r="F15" s="2">
        <v>87</v>
      </c>
      <c r="G15" s="2">
        <f t="shared" si="6"/>
        <v>55.557000000000002</v>
      </c>
      <c r="H15" s="2">
        <v>89</v>
      </c>
      <c r="I15" s="1">
        <f t="shared" si="7"/>
        <v>362.55700000000002</v>
      </c>
      <c r="J15" s="4">
        <f t="shared" si="0"/>
        <v>55</v>
      </c>
      <c r="K15" s="1"/>
      <c r="L15" t="str">
        <f t="shared" si="1"/>
        <v>pass</v>
      </c>
      <c r="M15" t="str">
        <f t="shared" si="8"/>
        <v>Fail</v>
      </c>
      <c r="N15" t="str">
        <f t="shared" si="2"/>
        <v>B</v>
      </c>
      <c r="O15">
        <f t="shared" si="3"/>
        <v>5</v>
      </c>
      <c r="P15" t="str">
        <f t="shared" si="9"/>
        <v>fail</v>
      </c>
      <c r="Q15" t="str">
        <f t="shared" si="4"/>
        <v>fail</v>
      </c>
      <c r="R15" t="str">
        <f t="shared" si="5"/>
        <v>fail</v>
      </c>
    </row>
    <row r="16" spans="1:22" x14ac:dyDescent="0.25">
      <c r="A16" s="2">
        <v>15</v>
      </c>
      <c r="B16" s="2" t="s">
        <v>25</v>
      </c>
      <c r="C16" s="2">
        <v>44</v>
      </c>
      <c r="D16" s="2">
        <v>39</v>
      </c>
      <c r="E16" s="2">
        <v>95</v>
      </c>
      <c r="F16" s="2">
        <v>51</v>
      </c>
      <c r="G16" s="2">
        <f t="shared" si="6"/>
        <v>48.1494</v>
      </c>
      <c r="H16" s="2">
        <v>55</v>
      </c>
      <c r="I16" s="1">
        <f t="shared" si="7"/>
        <v>332.14940000000001</v>
      </c>
      <c r="J16" s="4">
        <f t="shared" si="0"/>
        <v>57</v>
      </c>
      <c r="K16" s="1"/>
      <c r="L16" t="str">
        <f t="shared" si="1"/>
        <v>pass</v>
      </c>
      <c r="M16" t="str">
        <f t="shared" si="8"/>
        <v>Fail</v>
      </c>
      <c r="N16" t="str">
        <f t="shared" si="2"/>
        <v>B</v>
      </c>
      <c r="O16">
        <f t="shared" si="3"/>
        <v>13</v>
      </c>
      <c r="P16" t="str">
        <f t="shared" si="9"/>
        <v>fail</v>
      </c>
      <c r="Q16" t="str">
        <f t="shared" si="4"/>
        <v>fail</v>
      </c>
      <c r="R16" t="str">
        <f t="shared" si="5"/>
        <v>fail</v>
      </c>
    </row>
    <row r="17" spans="2:14" x14ac:dyDescent="0.25">
      <c r="C17" t="s">
        <v>26</v>
      </c>
    </row>
    <row r="18" spans="2:14" x14ac:dyDescent="0.25">
      <c r="H18">
        <f>ROUND(G2,0)</f>
        <v>44</v>
      </c>
    </row>
    <row r="19" spans="2:14" x14ac:dyDescent="0.25">
      <c r="B19" s="5"/>
      <c r="C19">
        <f>MAX(I2:I16)</f>
        <v>430.94100000000003</v>
      </c>
      <c r="H19">
        <v>40</v>
      </c>
      <c r="I19">
        <v>50</v>
      </c>
      <c r="J19">
        <f>H19+$I$19</f>
        <v>90</v>
      </c>
      <c r="K19">
        <f>I19+J$19</f>
        <v>140</v>
      </c>
      <c r="M19" t="s">
        <v>30</v>
      </c>
      <c r="N19">
        <f>POWER(5,2)</f>
        <v>25</v>
      </c>
    </row>
    <row r="20" spans="2:14" x14ac:dyDescent="0.25">
      <c r="B20" s="5"/>
      <c r="C20">
        <f>MIN(I2:I16)</f>
        <v>206.44560000000001</v>
      </c>
      <c r="F20" t="e">
        <f>ROUND(K2, 2)</f>
        <v>#VALUE!</v>
      </c>
      <c r="I20">
        <v>40</v>
      </c>
      <c r="J20">
        <f>H20+$I$19</f>
        <v>50</v>
      </c>
      <c r="M20" t="s">
        <v>32</v>
      </c>
      <c r="N20">
        <f>CEILING(50.123,1)</f>
        <v>51</v>
      </c>
    </row>
    <row r="21" spans="2:14" x14ac:dyDescent="0.25">
      <c r="B21" s="5"/>
      <c r="C21">
        <f>MAX(E2:E16)</f>
        <v>98</v>
      </c>
      <c r="F21">
        <f t="shared" ref="F21:F27" si="10">ROUND(K3,2)</f>
        <v>6.45</v>
      </c>
      <c r="M21" t="s">
        <v>33</v>
      </c>
      <c r="N21">
        <f>FLOOR(50.565, 1)</f>
        <v>50</v>
      </c>
    </row>
    <row r="22" spans="2:14" x14ac:dyDescent="0.25">
      <c r="C22">
        <f>MEDIAN(I2:I16)</f>
        <v>347.89120000000003</v>
      </c>
      <c r="F22">
        <f>ROUND(K4,2)</f>
        <v>23.46</v>
      </c>
      <c r="M22" t="s">
        <v>34</v>
      </c>
      <c r="N22" t="str">
        <f>_xlfn.CONCAT(C2,D2,E2,F2)</f>
        <v>13366513</v>
      </c>
    </row>
    <row r="23" spans="2:14" x14ac:dyDescent="0.25">
      <c r="F23">
        <f t="shared" si="10"/>
        <v>25.12</v>
      </c>
      <c r="G23">
        <v>2</v>
      </c>
      <c r="M23" t="s">
        <v>35</v>
      </c>
      <c r="N23" t="str">
        <f>CONCATENATE(E2,F2," - ",B2)</f>
        <v>6513 - a1</v>
      </c>
    </row>
    <row r="24" spans="2:14" x14ac:dyDescent="0.25">
      <c r="B24">
        <f>COUNTA(C14:D17)</f>
        <v>7</v>
      </c>
      <c r="F24">
        <f t="shared" si="10"/>
        <v>0</v>
      </c>
      <c r="G24">
        <v>8</v>
      </c>
      <c r="M24" t="s">
        <v>36</v>
      </c>
      <c r="N24" t="str">
        <f>TRIM(" Hello World ")</f>
        <v>Hello World</v>
      </c>
    </row>
    <row r="25" spans="2:14" x14ac:dyDescent="0.25">
      <c r="B25">
        <f>COUNT(I2:I16)</f>
        <v>15</v>
      </c>
      <c r="F25">
        <f t="shared" si="10"/>
        <v>0</v>
      </c>
      <c r="G25">
        <v>4</v>
      </c>
      <c r="N25" s="8">
        <f ca="1">NOW()</f>
        <v>46118.666787268521</v>
      </c>
    </row>
    <row r="26" spans="2:14" x14ac:dyDescent="0.25">
      <c r="F26">
        <f t="shared" si="10"/>
        <v>0</v>
      </c>
      <c r="G26">
        <v>2</v>
      </c>
      <c r="N26" s="9">
        <f ca="1">TODAY()</f>
        <v>46118</v>
      </c>
    </row>
    <row r="27" spans="2:14" x14ac:dyDescent="0.25">
      <c r="F27">
        <f t="shared" si="10"/>
        <v>0</v>
      </c>
    </row>
    <row r="31" spans="2:14" x14ac:dyDescent="0.25">
      <c r="G31">
        <f>COLUMNS(B2:J10)</f>
        <v>9</v>
      </c>
    </row>
    <row r="32" spans="2:14" x14ac:dyDescent="0.25">
      <c r="G32">
        <f>COUNTBLANK(G16:H18)</f>
        <v>3</v>
      </c>
    </row>
  </sheetData>
  <phoneticPr fontId="2" type="noConversion"/>
  <conditionalFormatting sqref="O1:O1048576">
    <cfRule type="cellIs" dxfId="1" priority="1" operator="equal">
      <formula>8</formula>
    </cfRule>
    <cfRule type="cellIs" dxfId="0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7D18-8125-4BBB-A483-5BAE5DA91DC7}">
  <dimension ref="A1:H5"/>
  <sheetViews>
    <sheetView tabSelected="1" workbookViewId="0">
      <selection activeCell="L29" sqref="L29"/>
    </sheetView>
  </sheetViews>
  <sheetFormatPr defaultRowHeight="15" x14ac:dyDescent="0.25"/>
  <sheetData>
    <row r="1" spans="1:8" x14ac:dyDescent="0.25">
      <c r="E1" t="s">
        <v>43</v>
      </c>
      <c r="F1" t="s">
        <v>42</v>
      </c>
    </row>
    <row r="2" spans="1:8" x14ac:dyDescent="0.25">
      <c r="A2">
        <v>1</v>
      </c>
      <c r="B2" t="s">
        <v>41</v>
      </c>
      <c r="C2">
        <v>24</v>
      </c>
      <c r="D2">
        <v>11</v>
      </c>
      <c r="E2">
        <f>SUM(C2:D2)</f>
        <v>35</v>
      </c>
      <c r="F2" t="str">
        <f>IF(COUNTIF(C2:D2, "&gt;=24")=2, "Good", "Average")</f>
        <v>Average</v>
      </c>
      <c r="G2" t="str">
        <f>IF(C2&gt;=24,IF(D2&gt;=24,"good","avg"))</f>
        <v>avg</v>
      </c>
      <c r="H2" t="str">
        <f>IF(COUNTIF(C2:D2,"&gt;=24")=2, "Good",IF(COUNTIF(C2:D2,"&gt;=24")=1, "Average","bad"))</f>
        <v>Average</v>
      </c>
    </row>
    <row r="3" spans="1:8" x14ac:dyDescent="0.25">
      <c r="A3">
        <v>2</v>
      </c>
      <c r="B3" t="s">
        <v>40</v>
      </c>
      <c r="C3">
        <v>27</v>
      </c>
      <c r="D3">
        <v>25</v>
      </c>
      <c r="E3">
        <f>SUM(C3:D3)</f>
        <v>52</v>
      </c>
      <c r="F3" t="str">
        <f>IF(COUNTIF(C3:D3, "&gt;=24")=2, "Good", "Average")</f>
        <v>Good</v>
      </c>
      <c r="G3" t="str">
        <f>IF(C3&gt;=24,IF(D3&gt;=24,"good","avg"))</f>
        <v>good</v>
      </c>
      <c r="H3" t="str">
        <f>IF(COUNTIF(C3:D3,"&gt;=24")=2, "Good",IF(COUNTIF(C3:D3,"&gt;=24")=1, "Average","bad"))</f>
        <v>Good</v>
      </c>
    </row>
    <row r="4" spans="1:8" x14ac:dyDescent="0.25">
      <c r="A4">
        <v>3</v>
      </c>
      <c r="B4" t="s">
        <v>39</v>
      </c>
      <c r="C4">
        <v>39</v>
      </c>
      <c r="D4">
        <v>12</v>
      </c>
      <c r="E4">
        <f>SUM(C4:D4)</f>
        <v>51</v>
      </c>
      <c r="F4" t="str">
        <f>IF(COUNTIF(C4:D4, "&gt;=24")=2, "Good", "Average")</f>
        <v>Average</v>
      </c>
      <c r="G4" t="str">
        <f>IF(C4&gt;=24,IF(D4&gt;=24,"good","avg"))</f>
        <v>avg</v>
      </c>
      <c r="H4" t="str">
        <f>IF(COUNTIF(C4:D4,"&gt;=24")=2, "Good",IF(COUNTIF(C4:D4,"&gt;=24")=1, "Average","bad"))</f>
        <v>Average</v>
      </c>
    </row>
    <row r="5" spans="1:8" x14ac:dyDescent="0.25">
      <c r="A5">
        <v>4</v>
      </c>
      <c r="B5" t="s">
        <v>38</v>
      </c>
      <c r="C5">
        <v>24</v>
      </c>
      <c r="D5">
        <v>48</v>
      </c>
      <c r="E5">
        <f>SUM(C5:D5)</f>
        <v>72</v>
      </c>
      <c r="F5" t="str">
        <f>IF(COUNTIF(C5:D5, "&gt;=24")=2, "Good", "Average")</f>
        <v>Good</v>
      </c>
      <c r="G5" t="str">
        <f>IF(C5&gt;=24,IF(D5&gt;=24,"good","avg"))</f>
        <v>good</v>
      </c>
      <c r="H5" t="str">
        <f>IF(COUNTIF(C5:D5,"&gt;=24")=2, "Good",IF(COUNTIF(C5:D5,"&gt;=24")=1, "Average","bad"))</f>
        <v>Good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C0A3-AE81-493D-8B1D-FDD6E12DDFF8}">
  <dimension ref="A1:G5"/>
  <sheetViews>
    <sheetView workbookViewId="0">
      <selection sqref="A1:G5"/>
    </sheetView>
  </sheetViews>
  <sheetFormatPr defaultRowHeight="15" x14ac:dyDescent="0.25"/>
  <sheetData>
    <row r="1" spans="1:7" x14ac:dyDescent="0.25">
      <c r="A1" t="s">
        <v>54</v>
      </c>
      <c r="B1" t="s">
        <v>53</v>
      </c>
      <c r="C1" t="s">
        <v>52</v>
      </c>
      <c r="D1" t="s">
        <v>51</v>
      </c>
      <c r="E1" t="s">
        <v>50</v>
      </c>
      <c r="F1" t="s">
        <v>49</v>
      </c>
      <c r="G1" t="s">
        <v>48</v>
      </c>
    </row>
    <row r="2" spans="1:7" x14ac:dyDescent="0.25">
      <c r="A2">
        <v>1</v>
      </c>
      <c r="B2" t="s">
        <v>47</v>
      </c>
      <c r="C2">
        <v>6</v>
      </c>
      <c r="D2">
        <v>50</v>
      </c>
      <c r="E2">
        <f>C2*D2</f>
        <v>300</v>
      </c>
      <c r="F2">
        <f>IF(D2&gt;40,30,0)</f>
        <v>30</v>
      </c>
      <c r="G2">
        <f>E2+F2</f>
        <v>330</v>
      </c>
    </row>
    <row r="3" spans="1:7" x14ac:dyDescent="0.25">
      <c r="A3">
        <v>2</v>
      </c>
      <c r="B3" t="s">
        <v>46</v>
      </c>
      <c r="C3">
        <v>8</v>
      </c>
      <c r="D3">
        <v>35</v>
      </c>
      <c r="E3">
        <f>C3*D3</f>
        <v>280</v>
      </c>
      <c r="F3">
        <f>IF(D3&gt;40,30,0)</f>
        <v>0</v>
      </c>
      <c r="G3">
        <f>E3+F3</f>
        <v>280</v>
      </c>
    </row>
    <row r="4" spans="1:7" x14ac:dyDescent="0.25">
      <c r="A4">
        <v>3</v>
      </c>
      <c r="B4" t="s">
        <v>45</v>
      </c>
      <c r="C4">
        <v>7</v>
      </c>
      <c r="D4">
        <v>45</v>
      </c>
      <c r="E4">
        <f>C4*D4</f>
        <v>315</v>
      </c>
      <c r="F4">
        <f>IF(D4&gt;40,30,0)</f>
        <v>30</v>
      </c>
      <c r="G4">
        <f>E4+F4</f>
        <v>345</v>
      </c>
    </row>
    <row r="5" spans="1:7" x14ac:dyDescent="0.25">
      <c r="A5">
        <v>4</v>
      </c>
      <c r="B5" t="s">
        <v>44</v>
      </c>
      <c r="C5">
        <v>10</v>
      </c>
      <c r="D5">
        <v>30</v>
      </c>
      <c r="E5">
        <f>C5*D5</f>
        <v>300</v>
      </c>
      <c r="F5">
        <f>IF(D5&gt;40,30,0)</f>
        <v>0</v>
      </c>
      <c r="G5">
        <f>E5+F5</f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0E12-F616-4750-BCA1-63C7D918EA85}">
  <dimension ref="A1:F13"/>
  <sheetViews>
    <sheetView workbookViewId="0">
      <selection sqref="A1:F13"/>
    </sheetView>
  </sheetViews>
  <sheetFormatPr defaultRowHeight="15" x14ac:dyDescent="0.25"/>
  <sheetData>
    <row r="1" spans="1:6" x14ac:dyDescent="0.25">
      <c r="A1" s="5" t="s">
        <v>55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</row>
    <row r="2" spans="1:6" ht="18" x14ac:dyDescent="0.25">
      <c r="A2" s="5" t="s">
        <v>61</v>
      </c>
      <c r="B2" s="5">
        <v>3</v>
      </c>
      <c r="C2" s="10">
        <v>410000</v>
      </c>
      <c r="D2" s="11" t="str">
        <f>IF(B2&gt;=4,"50%", "0%")</f>
        <v>0%</v>
      </c>
      <c r="E2" s="12">
        <f>C2*D2</f>
        <v>0</v>
      </c>
      <c r="F2" s="12">
        <f>C2-E2</f>
        <v>410000</v>
      </c>
    </row>
    <row r="3" spans="1:6" ht="18" x14ac:dyDescent="0.25">
      <c r="A3" s="5" t="s">
        <v>62</v>
      </c>
      <c r="B3" s="5">
        <v>4</v>
      </c>
      <c r="C3" s="10">
        <v>410000</v>
      </c>
      <c r="D3" s="11" t="str">
        <f>IF(B3&gt;=4,"50%", "0%")</f>
        <v>50%</v>
      </c>
      <c r="E3" s="12">
        <f>C3*D3</f>
        <v>205000</v>
      </c>
      <c r="F3" s="12">
        <f>C3-E3</f>
        <v>205000</v>
      </c>
    </row>
    <row r="4" spans="1:6" ht="18" x14ac:dyDescent="0.25">
      <c r="A4" s="5" t="s">
        <v>63</v>
      </c>
      <c r="B4" s="5">
        <v>5</v>
      </c>
      <c r="C4" s="10">
        <v>410000</v>
      </c>
      <c r="D4" s="11" t="str">
        <f>IF(B4&gt;=4,"50%", "0%")</f>
        <v>50%</v>
      </c>
      <c r="E4" s="12">
        <f>C4*D4</f>
        <v>205000</v>
      </c>
      <c r="F4" s="12">
        <f>C4-E4</f>
        <v>205000</v>
      </c>
    </row>
    <row r="5" spans="1:6" ht="18" x14ac:dyDescent="0.25">
      <c r="A5" s="5" t="s">
        <v>64</v>
      </c>
      <c r="B5" s="5">
        <v>4</v>
      </c>
      <c r="C5" s="10">
        <v>410000</v>
      </c>
      <c r="D5" s="11" t="str">
        <f>IF(B5&gt;=4,"50%", "0%")</f>
        <v>50%</v>
      </c>
      <c r="E5" s="12">
        <f>C5*D5</f>
        <v>205000</v>
      </c>
      <c r="F5" s="12">
        <f>C5-E5</f>
        <v>205000</v>
      </c>
    </row>
    <row r="6" spans="1:6" ht="18" x14ac:dyDescent="0.25">
      <c r="A6" s="5" t="s">
        <v>65</v>
      </c>
      <c r="B6" s="5">
        <v>2</v>
      </c>
      <c r="C6" s="10">
        <v>410000</v>
      </c>
      <c r="D6" s="11" t="str">
        <f>IF(B6&gt;=4,"50%", "0%")</f>
        <v>0%</v>
      </c>
      <c r="E6" s="12">
        <f>C6*D6</f>
        <v>0</v>
      </c>
      <c r="F6" s="12">
        <f>C6-E6</f>
        <v>410000</v>
      </c>
    </row>
    <row r="7" spans="1:6" ht="18" x14ac:dyDescent="0.25">
      <c r="A7" s="5" t="s">
        <v>66</v>
      </c>
      <c r="B7" s="5">
        <v>3</v>
      </c>
      <c r="C7" s="10">
        <v>410000</v>
      </c>
      <c r="D7" s="11" t="str">
        <f>IF(B7&gt;=4,"50%", "0%")</f>
        <v>0%</v>
      </c>
      <c r="E7" s="12">
        <f>C7*D7</f>
        <v>0</v>
      </c>
      <c r="F7" s="12">
        <f>C7-E7</f>
        <v>410000</v>
      </c>
    </row>
    <row r="8" spans="1:6" x14ac:dyDescent="0.25">
      <c r="D8" s="13"/>
    </row>
    <row r="9" spans="1:6" x14ac:dyDescent="0.25">
      <c r="D9" s="13"/>
    </row>
    <row r="13" spans="1:6" x14ac:dyDescent="0.25">
      <c r="D13" s="14">
        <f>MIN(F2:F7)</f>
        <v>205000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48FE-7550-4037-A99B-AAD0745E017B}">
  <dimension ref="A1:D8"/>
  <sheetViews>
    <sheetView workbookViewId="0">
      <selection sqref="A1:D8"/>
    </sheetView>
  </sheetViews>
  <sheetFormatPr defaultRowHeight="15" x14ac:dyDescent="0.25"/>
  <sheetData>
    <row r="1" spans="1:4" x14ac:dyDescent="0.25">
      <c r="A1" s="5" t="s">
        <v>67</v>
      </c>
      <c r="B1" t="s">
        <v>68</v>
      </c>
      <c r="C1" t="s">
        <v>69</v>
      </c>
      <c r="D1" t="s">
        <v>70</v>
      </c>
    </row>
    <row r="2" spans="1:4" x14ac:dyDescent="0.25">
      <c r="A2" s="5" t="s">
        <v>71</v>
      </c>
      <c r="B2">
        <v>123456</v>
      </c>
      <c r="C2">
        <v>59</v>
      </c>
      <c r="D2" t="str">
        <f>IF(C2&gt;=70,"pass","fail")</f>
        <v>fail</v>
      </c>
    </row>
    <row r="3" spans="1:4" x14ac:dyDescent="0.25">
      <c r="A3" s="5" t="s">
        <v>65</v>
      </c>
      <c r="B3">
        <v>123457</v>
      </c>
      <c r="C3">
        <v>70</v>
      </c>
      <c r="D3" t="str">
        <f>IF(C3&gt;=70,"pass","fail")</f>
        <v>pass</v>
      </c>
    </row>
    <row r="4" spans="1:4" x14ac:dyDescent="0.25">
      <c r="A4" s="5" t="s">
        <v>72</v>
      </c>
      <c r="B4">
        <v>123458</v>
      </c>
      <c r="C4">
        <v>60</v>
      </c>
      <c r="D4" t="str">
        <f>IF(C4&gt;=70,"pass","fail")</f>
        <v>fail</v>
      </c>
    </row>
    <row r="5" spans="1:4" x14ac:dyDescent="0.25">
      <c r="A5" s="5" t="s">
        <v>73</v>
      </c>
      <c r="B5">
        <v>123459</v>
      </c>
      <c r="C5">
        <v>90</v>
      </c>
      <c r="D5" t="str">
        <f>IF(C5&gt;=70,"pass","fail")</f>
        <v>pass</v>
      </c>
    </row>
    <row r="6" spans="1:4" x14ac:dyDescent="0.25">
      <c r="A6" s="5" t="s">
        <v>74</v>
      </c>
      <c r="B6">
        <v>123460</v>
      </c>
      <c r="C6">
        <v>71</v>
      </c>
      <c r="D6" t="str">
        <f>IF(C6&gt;=70,"pass","fail")</f>
        <v>pass</v>
      </c>
    </row>
    <row r="7" spans="1:4" x14ac:dyDescent="0.25">
      <c r="A7" s="5" t="s">
        <v>66</v>
      </c>
      <c r="B7">
        <v>123461</v>
      </c>
      <c r="C7">
        <v>69</v>
      </c>
      <c r="D7" t="str">
        <f>IF(C7&gt;=70,"pass","fail")</f>
        <v>fail</v>
      </c>
    </row>
    <row r="8" spans="1:4" x14ac:dyDescent="0.25">
      <c r="A8" s="5"/>
      <c r="C8">
        <f>AVERAGE(C2:C7)</f>
        <v>69.833333333333329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B-2</dc:creator>
  <cp:lastModifiedBy>B-2</cp:lastModifiedBy>
  <dcterms:created xsi:type="dcterms:W3CDTF">2026-04-04T08:21:13Z</dcterms:created>
  <dcterms:modified xsi:type="dcterms:W3CDTF">2026-04-06T10:00:53Z</dcterms:modified>
</cp:coreProperties>
</file>